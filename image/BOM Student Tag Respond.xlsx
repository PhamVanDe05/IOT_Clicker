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_Tai_lieu_hoc_tap\3_IOT\"/>
    </mc:Choice>
  </mc:AlternateContent>
  <xr:revisionPtr revIDLastSave="0" documentId="13_ncr:1_{D7FBD795-18CC-49CB-8021-F2AF261220EF}" xr6:coauthVersionLast="47" xr6:coauthVersionMax="47" xr10:uidLastSave="{00000000-0000-0000-0000-000000000000}"/>
  <bookViews>
    <workbookView xWindow="-108" yWindow="-108" windowWidth="23256" windowHeight="12456" xr2:uid="{B5BCEADE-33EC-4E46-A566-599F2CC07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5" i="1"/>
  <c r="E6" i="1"/>
  <c r="E12" i="1"/>
  <c r="E10" i="1"/>
  <c r="E11" i="1"/>
  <c r="E9" i="1"/>
  <c r="E4" i="1"/>
  <c r="E7" i="1"/>
  <c r="E8" i="1"/>
  <c r="E13" i="1"/>
  <c r="E2" i="1"/>
  <c r="E14" i="1" l="1"/>
</calcChain>
</file>

<file path=xl/sharedStrings.xml><?xml version="1.0" encoding="utf-8"?>
<sst xmlns="http://schemas.openxmlformats.org/spreadsheetml/2006/main" count="45" uniqueCount="44">
  <si>
    <t>STT</t>
  </si>
  <si>
    <t>Tên Thiết Bị</t>
  </si>
  <si>
    <t>Số lượng</t>
  </si>
  <si>
    <t>Link sản phẩm</t>
  </si>
  <si>
    <t>https://dientutuyetnga.com/products/mach-phat-trien-nrf52840-supermini-promicro-ble</t>
  </si>
  <si>
    <t>Mạch Phát Triển NRF52840 Supermini Promicro BLE</t>
  </si>
  <si>
    <t>Đơn giá</t>
  </si>
  <si>
    <t>Tổng</t>
  </si>
  <si>
    <t>Nút Nhấn 4x4mm Cao 2mm 4 Chân SMD Chống Nước</t>
  </si>
  <si>
    <t>https://www.thegioiic.com/nut-nhan-4x4mm-cao-2mm-4-chan-smd-chong-nuoc</t>
  </si>
  <si>
    <t>https://www.thegioiic.com/dien-tro-1-kohm-0603-5-</t>
  </si>
  <si>
    <t>Điện Trở 1 KOhm 0603 5%</t>
  </si>
  <si>
    <t>Tụ Nhôm SMD 47uF 16V 5x5.4mm</t>
  </si>
  <si>
    <t>https://www.thegioiic.com/tu-nhom-smd-47uf-16v-5x5-4mm</t>
  </si>
  <si>
    <t>https://www.thegioiic.com/msk-12c02-cong-tac-truot-7-chan-on-off-smd-chinh-ngang-1p2t-0-5a</t>
  </si>
  <si>
    <t>MSK-12C02 Công Tắc Trượt 7 Chân ON-OFF SMD</t>
  </si>
  <si>
    <t>0834 Động Cơ Rung 3VDC 80mA 12000 rpm</t>
  </si>
  <si>
    <t>https://www.thegioiic.com/0834-dong-co-rung-3vdc-80ma-12000-rpm</t>
  </si>
  <si>
    <t>2811AS LED 7 Đoạn 0.28inch Đỏ 1 Số Âm Chung</t>
  </si>
  <si>
    <t>https://www.thegioiic.com/2811as-led-7-doan-0-28inch-do-1-so-am-chung</t>
  </si>
  <si>
    <t>XBLW 74HC595DTR IC Shift Register 1 Element 8 Bit</t>
  </si>
  <si>
    <t>https://www.thegioiic.com/xblw-74hc595dtr-ic-shift-register-1-element-8-bit-tri-state-16-sop</t>
  </si>
  <si>
    <t>2N7002 MOSFET Kênh N 60V 115mA SOT-23</t>
  </si>
  <si>
    <t>https://www.thegioiic.com/2n7002-mosfet-kenh-n-60v-115ma-sot-23</t>
  </si>
  <si>
    <r>
      <t xml:space="preserve">Mắc thêm 1 điện trở kéo xuống </t>
    </r>
    <r>
      <rPr>
        <sz val="11"/>
        <color theme="1"/>
        <rFont val="Arial"/>
        <family val="2"/>
      </rPr>
      <t>$10\text{ k}\Omega$</t>
    </r>
    <r>
      <rPr>
        <sz val="11"/>
        <color theme="1"/>
        <rFont val="Calibri"/>
        <family val="2"/>
        <scheme val="minor"/>
      </rPr>
      <t xml:space="preserve"> từ chân Gate (hoặc Base) xuống GND để tránh động cơ tự rung khi MCU mới khởi động.</t>
    </r>
  </si>
  <si>
    <t>Ứng dụng</t>
  </si>
  <si>
    <t>MCU chính</t>
  </si>
  <si>
    <t>nhận lệnh</t>
  </si>
  <si>
    <t>hạ dòng led 7 đoạn</t>
  </si>
  <si>
    <t>ổn áp khi khởi động từ sleep</t>
  </si>
  <si>
    <t xml:space="preserve">rung báo </t>
  </si>
  <si>
    <t>giải mã led 7 đoạn</t>
  </si>
  <si>
    <t>hiển thị</t>
  </si>
  <si>
    <t>công suất cho động cơ rung</t>
  </si>
  <si>
    <t>bật/tắt nguồn</t>
  </si>
  <si>
    <t>https://www.thegioiic.com/dien-tro-4-7-kohm-0603-5-</t>
  </si>
  <si>
    <t>mạch công suất</t>
  </si>
  <si>
    <t>Điện Trở 4.7 KOhm 0603 5%</t>
  </si>
  <si>
    <t>https://www.thegioiic.com/dien-tro-10-kohm-0603-5</t>
  </si>
  <si>
    <t>Điện Trở 10 KOhm 0603 5%</t>
  </si>
  <si>
    <t>Chính hãng</t>
  </si>
  <si>
    <t>74HC165D,653 IC Shift Register 1 Element 8 Bit</t>
  </si>
  <si>
    <t>https://www.thegioiic.com/74hc165d-653-ic-shift-register-1-element-8-bit-complementary-16-soic</t>
  </si>
  <si>
    <t>mã hoá nút nhấn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</si>
</sst>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14</xdr:row>
      <xdr:rowOff>7620</xdr:rowOff>
    </xdr:from>
    <xdr:to>
      <xdr:col>6</xdr:col>
      <xdr:colOff>2209800</xdr:colOff>
      <xdr:row>22</xdr:row>
      <xdr:rowOff>169317</xdr:rowOff>
    </xdr:to>
    <xdr:pic>
      <xdr:nvPicPr>
        <xdr:cNvPr id="2" name="Picture 1" descr="Problems with the 2N7002 MOSFET : r/ElectricalEngineering">
          <a:extLst>
            <a:ext uri="{FF2B5EF4-FFF2-40B4-BE49-F238E27FC236}">
              <a16:creationId xmlns:a16="http://schemas.microsoft.com/office/drawing/2014/main" id="{21125B93-9641-4CF3-9E47-F4C3362BE6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0080" y="2567940"/>
          <a:ext cx="2209800" cy="16247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AAA2B-30D3-4222-B981-CAA1F36A764F}">
  <dimension ref="A1:H18"/>
  <sheetViews>
    <sheetView tabSelected="1" topLeftCell="B1" workbookViewId="0">
      <selection activeCell="G18" sqref="G18"/>
    </sheetView>
  </sheetViews>
  <sheetFormatPr defaultRowHeight="14.4" x14ac:dyDescent="0.3"/>
  <cols>
    <col min="2" max="2" width="44.6640625" customWidth="1"/>
    <col min="3" max="3" width="13.44140625" customWidth="1"/>
    <col min="4" max="5" width="12.88671875" customWidth="1"/>
    <col min="6" max="6" width="27.6640625" customWidth="1"/>
    <col min="7" max="7" width="86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6</v>
      </c>
      <c r="E1" s="1" t="s">
        <v>7</v>
      </c>
      <c r="F1" s="1" t="s">
        <v>25</v>
      </c>
      <c r="G1" s="1" t="s">
        <v>3</v>
      </c>
    </row>
    <row r="2" spans="1:8" x14ac:dyDescent="0.3">
      <c r="A2">
        <v>1</v>
      </c>
      <c r="B2" t="s">
        <v>5</v>
      </c>
      <c r="C2">
        <v>1</v>
      </c>
      <c r="D2">
        <v>89000</v>
      </c>
      <c r="E2">
        <f>C2*D2</f>
        <v>89000</v>
      </c>
      <c r="F2" t="s">
        <v>26</v>
      </c>
      <c r="G2" t="s">
        <v>4</v>
      </c>
    </row>
    <row r="3" spans="1:8" x14ac:dyDescent="0.3">
      <c r="B3" t="s">
        <v>41</v>
      </c>
      <c r="C3">
        <v>2</v>
      </c>
      <c r="D3">
        <v>6700</v>
      </c>
      <c r="E3">
        <f>C3*D3</f>
        <v>13400</v>
      </c>
      <c r="F3" t="s">
        <v>43</v>
      </c>
      <c r="G3" t="s">
        <v>42</v>
      </c>
    </row>
    <row r="4" spans="1:8" x14ac:dyDescent="0.3">
      <c r="A4">
        <v>2</v>
      </c>
      <c r="B4" t="s">
        <v>8</v>
      </c>
      <c r="C4">
        <v>12</v>
      </c>
      <c r="D4">
        <v>570</v>
      </c>
      <c r="E4">
        <f t="shared" ref="E4:E13" si="0">C4*D4</f>
        <v>6840</v>
      </c>
      <c r="F4" t="s">
        <v>27</v>
      </c>
      <c r="G4" t="s">
        <v>9</v>
      </c>
    </row>
    <row r="5" spans="1:8" x14ac:dyDescent="0.3">
      <c r="A5">
        <v>3</v>
      </c>
      <c r="B5" t="s">
        <v>39</v>
      </c>
      <c r="C5">
        <v>2</v>
      </c>
      <c r="D5">
        <v>59</v>
      </c>
      <c r="E5">
        <f t="shared" si="0"/>
        <v>118</v>
      </c>
      <c r="F5" t="s">
        <v>36</v>
      </c>
      <c r="G5" t="s">
        <v>38</v>
      </c>
    </row>
    <row r="6" spans="1:8" x14ac:dyDescent="0.3">
      <c r="A6">
        <v>4</v>
      </c>
      <c r="B6" t="s">
        <v>37</v>
      </c>
      <c r="C6">
        <v>1</v>
      </c>
      <c r="D6">
        <v>59</v>
      </c>
      <c r="E6">
        <f t="shared" si="0"/>
        <v>59</v>
      </c>
      <c r="F6" t="s">
        <v>36</v>
      </c>
      <c r="G6" t="s">
        <v>35</v>
      </c>
    </row>
    <row r="7" spans="1:8" x14ac:dyDescent="0.3">
      <c r="A7">
        <v>5</v>
      </c>
      <c r="B7" t="s">
        <v>11</v>
      </c>
      <c r="C7">
        <v>14</v>
      </c>
      <c r="D7">
        <v>59</v>
      </c>
      <c r="E7">
        <f t="shared" si="0"/>
        <v>826</v>
      </c>
      <c r="F7" t="s">
        <v>28</v>
      </c>
      <c r="G7" t="s">
        <v>10</v>
      </c>
    </row>
    <row r="8" spans="1:8" x14ac:dyDescent="0.3">
      <c r="A8">
        <v>6</v>
      </c>
      <c r="B8" t="s">
        <v>12</v>
      </c>
      <c r="C8">
        <v>1</v>
      </c>
      <c r="D8">
        <v>800</v>
      </c>
      <c r="E8">
        <f t="shared" si="0"/>
        <v>800</v>
      </c>
      <c r="F8" t="s">
        <v>29</v>
      </c>
      <c r="G8" t="s">
        <v>13</v>
      </c>
    </row>
    <row r="9" spans="1:8" x14ac:dyDescent="0.3">
      <c r="A9">
        <v>7</v>
      </c>
      <c r="B9" t="s">
        <v>16</v>
      </c>
      <c r="C9">
        <v>1</v>
      </c>
      <c r="D9">
        <v>9700</v>
      </c>
      <c r="E9">
        <f t="shared" si="0"/>
        <v>9700</v>
      </c>
      <c r="F9" t="s">
        <v>30</v>
      </c>
      <c r="G9" t="s">
        <v>17</v>
      </c>
    </row>
    <row r="10" spans="1:8" x14ac:dyDescent="0.3">
      <c r="A10">
        <v>8</v>
      </c>
      <c r="B10" t="s">
        <v>20</v>
      </c>
      <c r="C10">
        <v>2</v>
      </c>
      <c r="D10">
        <v>2850</v>
      </c>
      <c r="E10">
        <f t="shared" si="0"/>
        <v>5700</v>
      </c>
      <c r="F10" t="s">
        <v>31</v>
      </c>
      <c r="G10" t="s">
        <v>21</v>
      </c>
    </row>
    <row r="11" spans="1:8" x14ac:dyDescent="0.3">
      <c r="A11">
        <v>9</v>
      </c>
      <c r="B11" t="s">
        <v>18</v>
      </c>
      <c r="C11">
        <v>2</v>
      </c>
      <c r="D11">
        <v>4600</v>
      </c>
      <c r="E11">
        <f t="shared" si="0"/>
        <v>9200</v>
      </c>
      <c r="F11" t="s">
        <v>32</v>
      </c>
      <c r="G11" t="s">
        <v>19</v>
      </c>
    </row>
    <row r="12" spans="1:8" x14ac:dyDescent="0.3">
      <c r="A12">
        <v>10</v>
      </c>
      <c r="B12" t="s">
        <v>22</v>
      </c>
      <c r="C12">
        <v>1</v>
      </c>
      <c r="D12">
        <v>460</v>
      </c>
      <c r="E12">
        <f t="shared" si="0"/>
        <v>460</v>
      </c>
      <c r="F12" t="s">
        <v>33</v>
      </c>
      <c r="G12" t="s">
        <v>23</v>
      </c>
      <c r="H12" t="s">
        <v>24</v>
      </c>
    </row>
    <row r="13" spans="1:8" x14ac:dyDescent="0.3">
      <c r="A13">
        <v>11</v>
      </c>
      <c r="B13" t="s">
        <v>15</v>
      </c>
      <c r="C13">
        <v>1</v>
      </c>
      <c r="D13">
        <v>1140</v>
      </c>
      <c r="E13">
        <f t="shared" si="0"/>
        <v>1140</v>
      </c>
      <c r="F13" t="s">
        <v>34</v>
      </c>
      <c r="G13" t="s">
        <v>14</v>
      </c>
    </row>
    <row r="14" spans="1:8" x14ac:dyDescent="0.3">
      <c r="E14">
        <f>SUM(E2:E13)</f>
        <v>137243</v>
      </c>
    </row>
    <row r="18" spans="2:2" x14ac:dyDescent="0.3">
      <c r="B18" t="s">
        <v>40</v>
      </c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2026-09-24T01:21:31Z</dcterms:created>
  <dcterms:modified xsi:type="dcterms:W3CDTF">2026-09-24T05:20:22Z</dcterms:modified>
</cp:coreProperties>
</file>